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e88652706c9b63/Documents/"/>
    </mc:Choice>
  </mc:AlternateContent>
  <xr:revisionPtr revIDLastSave="0" documentId="14_{DF5D9C74-93FB-4372-83CD-C2D4BA4732F2}" xr6:coauthVersionLast="47" xr6:coauthVersionMax="47" xr10:uidLastSave="{00000000-0000-0000-0000-000000000000}"/>
  <bookViews>
    <workbookView xWindow="-108" yWindow="-108" windowWidth="23256" windowHeight="12456" xr2:uid="{F564FA9E-7EBA-48D9-9D2C-C31CE76DB12F}"/>
  </bookViews>
  <sheets>
    <sheet name="KPI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1" l="1"/>
  <c r="M7" i="1"/>
  <c r="M6" i="1"/>
  <c r="D1" i="1"/>
  <c r="F12" i="1"/>
  <c r="I12" i="1" s="1"/>
  <c r="F13" i="1"/>
  <c r="F14" i="1"/>
  <c r="F15" i="1"/>
  <c r="F16" i="1"/>
  <c r="I15" i="1" s="1"/>
  <c r="F17" i="1"/>
  <c r="F18" i="1"/>
  <c r="I16" i="1" s="1"/>
  <c r="F19" i="1"/>
  <c r="F20" i="1"/>
  <c r="F21" i="1"/>
  <c r="F22" i="1"/>
  <c r="F11" i="1"/>
  <c r="I8" i="1" l="1"/>
  <c r="I11" i="1"/>
  <c r="I6" i="1"/>
  <c r="I5" i="1"/>
  <c r="I4" i="1"/>
  <c r="I3" i="1"/>
  <c r="C1" i="1"/>
  <c r="E1" i="1"/>
  <c r="I2" i="1"/>
  <c r="I9" i="1"/>
  <c r="I13" i="1"/>
  <c r="I7" i="1"/>
  <c r="I14" i="1"/>
  <c r="I19" i="1" l="1"/>
</calcChain>
</file>

<file path=xl/sharedStrings.xml><?xml version="1.0" encoding="utf-8"?>
<sst xmlns="http://schemas.openxmlformats.org/spreadsheetml/2006/main" count="82" uniqueCount="59">
  <si>
    <t>Order ID</t>
  </si>
  <si>
    <t>Product</t>
  </si>
  <si>
    <t>Category</t>
  </si>
  <si>
    <t>Quantity</t>
  </si>
  <si>
    <t>Revenue</t>
  </si>
  <si>
    <t>Unit Price</t>
  </si>
  <si>
    <t>Cell</t>
  </si>
  <si>
    <t>Heading</t>
  </si>
  <si>
    <t>A10</t>
  </si>
  <si>
    <t>B10</t>
  </si>
  <si>
    <t>C10</t>
  </si>
  <si>
    <t>D10</t>
  </si>
  <si>
    <t>E10</t>
  </si>
  <si>
    <t>F10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</si>
  <si>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</si>
  <si>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</si>
  <si>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</si>
  <si>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</si>
  <si>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</si>
  <si>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</si>
  <si>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</si>
  <si>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</si>
  <si>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</si>
  <si>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</si>
  <si>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</si>
  <si>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</si>
  <si>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Laptop Stand</t>
  </si>
  <si>
    <t>Office Chairs</t>
  </si>
  <si>
    <t>Wireless Keyboard</t>
  </si>
  <si>
    <t>Monitor</t>
  </si>
  <si>
    <t>Desk</t>
  </si>
  <si>
    <t>Printer</t>
  </si>
  <si>
    <t>Office Supplies</t>
  </si>
  <si>
    <t>Furniture</t>
  </si>
  <si>
    <t>Technology</t>
  </si>
  <si>
    <t>Type</t>
  </si>
  <si>
    <t>H1</t>
  </si>
  <si>
    <t>l1</t>
  </si>
  <si>
    <t>H2</t>
  </si>
  <si>
    <t>H3</t>
  </si>
  <si>
    <t>H4</t>
  </si>
  <si>
    <t>H5</t>
  </si>
  <si>
    <t>H6</t>
  </si>
  <si>
    <t>H7</t>
  </si>
  <si>
    <t>Total Revenue</t>
  </si>
  <si>
    <t>H11</t>
  </si>
  <si>
    <t>H12</t>
  </si>
  <si>
    <t>H13</t>
  </si>
  <si>
    <t>H14</t>
  </si>
  <si>
    <t>H15</t>
  </si>
  <si>
    <t>H16</t>
  </si>
  <si>
    <t>Top Product</t>
  </si>
  <si>
    <t>Column1</t>
  </si>
  <si>
    <t>Column2</t>
  </si>
  <si>
    <t>KPI</t>
  </si>
  <si>
    <t>Value</t>
  </si>
  <si>
    <t>Units Sold</t>
  </si>
  <si>
    <t>Average Order Value</t>
  </si>
  <si>
    <t>Top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</si>
</sst>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20ABA-8E76-4934-BB20-E3001678B0B6}" name="Table1" displayName="Table1" ref="A10:F22" totalsRowShown="0" headerRowDxfId="11" dataDxfId="12">
  <autoFilter ref="A10:F22" xr:uid="{BF520ABA-8E76-4934-BB20-E3001678B0B6}"/>
  <tableColumns count="6">
    <tableColumn id="1" xr3:uid="{A8FA5793-F989-4DF3-9764-F7A42A472B4C}" name="Order ID" dataDxfId="16"/>
    <tableColumn id="2" xr3:uid="{8952C172-871B-41D5-8EA1-2AAACA5F11D0}" name="Product"/>
    <tableColumn id="3" xr3:uid="{228509D5-6ED8-47F1-B87A-3A831947C30B}" name="Category"/>
    <tableColumn id="4" xr3:uid="{777161A5-C0C4-4747-AEC7-EC00D1BCFB7F}" name="Quantity" dataDxfId="15"/>
    <tableColumn id="5" xr3:uid="{28CDB0DA-7C17-435E-9623-8A41D8DFBABC}" name="Unit Price" dataDxfId="14"/>
    <tableColumn id="6" xr3:uid="{744C4E1D-2836-48D9-9A36-76D155E326A4}" name="Revenue" dataDxfId="13">
      <calculatedColumnFormula>D11*E11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62261F-D28E-4B5B-A93D-2B63CC0B8D2D}" name="Table2" displayName="Table2" ref="H1:I17" totalsRowShown="0" dataDxfId="8">
  <autoFilter ref="H1:I17" xr:uid="{B062261F-D28E-4B5B-A93D-2B63CC0B8D2D}"/>
  <tableColumns count="2">
    <tableColumn id="1" xr3:uid="{026E8D52-8557-46FC-991A-50F313A4B4C1}" name="Cell" dataDxfId="10"/>
    <tableColumn id="2" xr3:uid="{A93C044E-FD2A-47AE-85AB-28C65EE5D42E}" name="Typ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71FD37-BE9B-4553-8396-A417A84235E3}" name="Table3" displayName="Table3" ref="H18:I19" totalsRowShown="0" headerRowDxfId="4" dataDxfId="5">
  <autoFilter ref="H18:I19" xr:uid="{E771FD37-BE9B-4553-8396-A417A84235E3}"/>
  <tableColumns count="2">
    <tableColumn id="1" xr3:uid="{DB829F80-D4A1-4708-A431-955D738A9EE8}" name="Column1" dataDxfId="7"/>
    <tableColumn id="2" xr3:uid="{DD01732F-3E1B-4CB2-9964-5C87B7B4068B}" name="Column2" dataDxfId="6">
      <calculatedColumnFormula>INDEX(H11:H16,MATCH(MAX(I11:I16),I11:I16,0))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65C4D6-6083-4D1F-B697-16673CA6EBD7}" name="Table4" displayName="Table4" ref="L5:M9" totalsRowShown="0" headerRowDxfId="0" dataDxfId="1">
  <autoFilter ref="L5:M9" xr:uid="{0965C4D6-6083-4D1F-B697-16673CA6EBD7}"/>
  <tableColumns count="2">
    <tableColumn id="1" xr3:uid="{E6CE0ACB-E5A0-424A-AD0B-2FD484F88583}" name="KPI" dataDxfId="3"/>
    <tableColumn id="2" xr3:uid="{937673E2-5C00-4281-8C34-36A41DE2BFD1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166F-9E30-403D-AE7B-A3408C74A594}">
  <dimension ref="A1:N22"/>
  <sheetViews>
    <sheetView tabSelected="1" workbookViewId="0">
      <selection activeCell="G13" sqref="G13"/>
    </sheetView>
  </sheetViews>
  <sheetFormatPr defaultRowHeight="14.4" x14ac:dyDescent="0.3"/>
  <cols>
    <col min="1" max="1" width="11.21875" customWidth="1"/>
    <col min="2" max="2" width="18" customWidth="1"/>
    <col min="3" max="3" width="14.77734375" customWidth="1"/>
    <col min="4" max="4" width="17.77734375" customWidth="1"/>
    <col min="5" max="5" width="18.109375" customWidth="1"/>
    <col min="6" max="6" width="15" customWidth="1"/>
    <col min="8" max="8" width="14.6640625" customWidth="1"/>
    <col min="9" max="9" width="30.5546875" customWidth="1"/>
    <col min="12" max="12" width="18.5546875" customWidth="1"/>
    <col min="13" max="13" width="15" customWidth="1"/>
    <col min="14" max="14" width="16.6640625" customWidth="1"/>
  </cols>
  <sheetData>
    <row r="1" spans="1:14" ht="18" x14ac:dyDescent="0.35">
      <c r="A1" s="5" t="s">
        <v>6</v>
      </c>
      <c r="B1" s="5" t="s">
        <v>7</v>
      </c>
      <c r="C1" s="5">
        <f>SUM(F11:F22)</f>
        <v>15780</v>
      </c>
      <c r="D1" s="5">
        <f>SUM(D11:D22)</f>
        <v>83</v>
      </c>
      <c r="E1" s="5">
        <f>SUM(F11:F22)/COUNTA(A11:A22)</f>
        <v>1315</v>
      </c>
      <c r="H1" s="2" t="s">
        <v>6</v>
      </c>
      <c r="I1" s="3" t="s">
        <v>35</v>
      </c>
    </row>
    <row r="2" spans="1:14" ht="15.6" x14ac:dyDescent="0.3">
      <c r="A2" s="4" t="s">
        <v>8</v>
      </c>
      <c r="B2" s="4" t="s">
        <v>0</v>
      </c>
      <c r="H2" s="1" t="s">
        <v>36</v>
      </c>
      <c r="I2" s="3">
        <f>SUM(B11:B22,H2,F11:F22)</f>
        <v>15780</v>
      </c>
    </row>
    <row r="3" spans="1:14" ht="15.6" x14ac:dyDescent="0.3">
      <c r="A3" s="4" t="s">
        <v>9</v>
      </c>
      <c r="B3" s="4" t="s">
        <v>1</v>
      </c>
      <c r="H3" s="1" t="s">
        <v>37</v>
      </c>
      <c r="I3" s="3">
        <f t="shared" ref="I3:I9" si="0">SUM(B12:B23,H3,F12:F23)</f>
        <v>15555</v>
      </c>
    </row>
    <row r="4" spans="1:14" ht="15.6" x14ac:dyDescent="0.3">
      <c r="A4" s="4" t="s">
        <v>10</v>
      </c>
      <c r="B4" s="4" t="s">
        <v>2</v>
      </c>
      <c r="H4" s="1" t="s">
        <v>38</v>
      </c>
      <c r="I4" s="3">
        <f t="shared" si="0"/>
        <v>13795</v>
      </c>
    </row>
    <row r="5" spans="1:14" ht="15.6" x14ac:dyDescent="0.3">
      <c r="A5" s="4" t="s">
        <v>11</v>
      </c>
      <c r="B5" s="4" t="s">
        <v>3</v>
      </c>
      <c r="H5" s="1" t="s">
        <v>39</v>
      </c>
      <c r="I5" s="3">
        <f t="shared" si="0"/>
        <v>13015</v>
      </c>
      <c r="L5" s="1" t="s">
        <v>54</v>
      </c>
      <c r="M5" s="1" t="s">
        <v>55</v>
      </c>
    </row>
    <row r="6" spans="1:14" ht="15.6" x14ac:dyDescent="0.3">
      <c r="A6" s="4" t="s">
        <v>12</v>
      </c>
      <c r="B6" s="4" t="s">
        <v>5</v>
      </c>
      <c r="H6" s="1" t="s">
        <v>40</v>
      </c>
      <c r="I6" s="3">
        <f t="shared" si="0"/>
        <v>10815</v>
      </c>
      <c r="L6" s="1" t="s">
        <v>44</v>
      </c>
      <c r="M6" s="1">
        <f>SUM(F11:F22)</f>
        <v>15780</v>
      </c>
    </row>
    <row r="7" spans="1:14" ht="15.6" x14ac:dyDescent="0.3">
      <c r="A7" s="4" t="s">
        <v>13</v>
      </c>
      <c r="B7" s="4" t="s">
        <v>4</v>
      </c>
      <c r="H7" s="1" t="s">
        <v>41</v>
      </c>
      <c r="I7" s="3">
        <f t="shared" si="0"/>
        <v>9315</v>
      </c>
      <c r="L7" s="1" t="s">
        <v>56</v>
      </c>
      <c r="M7" s="1">
        <f>SUM(D11:D22)</f>
        <v>83</v>
      </c>
      <c r="N7" s="1"/>
    </row>
    <row r="8" spans="1:14" x14ac:dyDescent="0.3">
      <c r="H8" s="1" t="s">
        <v>42</v>
      </c>
      <c r="I8" s="3">
        <f t="shared" si="0"/>
        <v>7515</v>
      </c>
      <c r="L8" s="1" t="s">
        <v>57</v>
      </c>
      <c r="M8" s="1">
        <f>SUM(F11:F22)/COUNTA(A11:A22)</f>
        <v>1315</v>
      </c>
      <c r="N8" s="1"/>
    </row>
    <row r="9" spans="1:14" x14ac:dyDescent="0.3">
      <c r="H9" s="1" t="s">
        <v>43</v>
      </c>
      <c r="I9" s="3">
        <f t="shared" si="0"/>
        <v>5975</v>
      </c>
      <c r="L9" s="1" t="s">
        <v>58</v>
      </c>
      <c r="M9" s="1" t="s">
        <v>27</v>
      </c>
    </row>
    <row r="10" spans="1:14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5</v>
      </c>
      <c r="F10" s="1" t="s">
        <v>4</v>
      </c>
    </row>
    <row r="11" spans="1:14" x14ac:dyDescent="0.3">
      <c r="A11" s="1" t="s">
        <v>14</v>
      </c>
      <c r="B11" t="s">
        <v>26</v>
      </c>
      <c r="C11" t="s">
        <v>32</v>
      </c>
      <c r="D11" s="1">
        <v>5</v>
      </c>
      <c r="E11" s="1">
        <v>45</v>
      </c>
      <c r="F11" s="1">
        <f>D11*E11</f>
        <v>225</v>
      </c>
      <c r="H11" s="1" t="s">
        <v>45</v>
      </c>
      <c r="I11" s="1">
        <f>SUMIF(B:B,"Laptop Stand",F:F)</f>
        <v>630</v>
      </c>
    </row>
    <row r="12" spans="1:14" x14ac:dyDescent="0.3">
      <c r="A12" s="1" t="s">
        <v>15</v>
      </c>
      <c r="B12" t="s">
        <v>27</v>
      </c>
      <c r="C12" t="s">
        <v>33</v>
      </c>
      <c r="D12" s="1">
        <v>8</v>
      </c>
      <c r="E12" s="1">
        <v>220</v>
      </c>
      <c r="F12" s="1">
        <f t="shared" ref="F12:F22" si="1">D12*E12</f>
        <v>1760</v>
      </c>
      <c r="H12" s="1" t="s">
        <v>46</v>
      </c>
      <c r="I12" s="1">
        <f>SUMIF(B:B,"Office Chairs",F:F)</f>
        <v>6820</v>
      </c>
    </row>
    <row r="13" spans="1:14" x14ac:dyDescent="0.3">
      <c r="A13" s="1" t="s">
        <v>16</v>
      </c>
      <c r="B13" t="s">
        <v>28</v>
      </c>
      <c r="C13" t="s">
        <v>34</v>
      </c>
      <c r="D13" s="1">
        <v>12</v>
      </c>
      <c r="E13" s="1">
        <v>65</v>
      </c>
      <c r="F13" s="1">
        <f t="shared" si="1"/>
        <v>780</v>
      </c>
      <c r="H13" s="1" t="s">
        <v>47</v>
      </c>
      <c r="I13" s="1">
        <f>SUMIF(B:B,"Wireless Keyboard",F:F)</f>
        <v>780</v>
      </c>
    </row>
    <row r="14" spans="1:14" x14ac:dyDescent="0.3">
      <c r="A14" s="1" t="s">
        <v>17</v>
      </c>
      <c r="B14" t="s">
        <v>27</v>
      </c>
      <c r="C14" t="s">
        <v>33</v>
      </c>
      <c r="D14" s="1">
        <v>10</v>
      </c>
      <c r="E14" s="1">
        <v>220</v>
      </c>
      <c r="F14" s="1">
        <f t="shared" si="1"/>
        <v>2200</v>
      </c>
      <c r="H14" s="1" t="s">
        <v>48</v>
      </c>
      <c r="I14" s="1">
        <f>SUMIF(B:B,"Monitor",F:F)</f>
        <v>3500</v>
      </c>
    </row>
    <row r="15" spans="1:14" x14ac:dyDescent="0.3">
      <c r="A15" s="1" t="s">
        <v>18</v>
      </c>
      <c r="B15" t="s">
        <v>29</v>
      </c>
      <c r="C15" t="s">
        <v>34</v>
      </c>
      <c r="D15" s="1">
        <v>6</v>
      </c>
      <c r="E15" s="1">
        <v>250</v>
      </c>
      <c r="F15" s="1">
        <f t="shared" si="1"/>
        <v>1500</v>
      </c>
      <c r="H15" s="1" t="s">
        <v>49</v>
      </c>
      <c r="I15" s="1">
        <f>SUMIF(B:B,"Desk",F:F)</f>
        <v>3150</v>
      </c>
    </row>
    <row r="16" spans="1:14" x14ac:dyDescent="0.3">
      <c r="A16" s="1" t="s">
        <v>19</v>
      </c>
      <c r="B16" t="s">
        <v>30</v>
      </c>
      <c r="C16" t="s">
        <v>33</v>
      </c>
      <c r="D16" s="1">
        <v>4</v>
      </c>
      <c r="E16" s="1">
        <v>450</v>
      </c>
      <c r="F16" s="1">
        <f t="shared" si="1"/>
        <v>1800</v>
      </c>
      <c r="H16" s="1" t="s">
        <v>50</v>
      </c>
      <c r="I16" s="1">
        <f>SUMIF(B:B,"Printer",F:F)</f>
        <v>900</v>
      </c>
    </row>
    <row r="17" spans="1:9" x14ac:dyDescent="0.3">
      <c r="A17" s="1" t="s">
        <v>20</v>
      </c>
      <c r="B17" t="s">
        <v>27</v>
      </c>
      <c r="C17" t="s">
        <v>33</v>
      </c>
      <c r="D17" s="1">
        <v>7</v>
      </c>
      <c r="E17" s="1">
        <v>220</v>
      </c>
      <c r="F17" s="1">
        <f t="shared" si="1"/>
        <v>1540</v>
      </c>
    </row>
    <row r="18" spans="1:9" x14ac:dyDescent="0.3">
      <c r="A18" s="1" t="s">
        <v>21</v>
      </c>
      <c r="B18" t="s">
        <v>31</v>
      </c>
      <c r="C18" t="s">
        <v>34</v>
      </c>
      <c r="D18" s="1">
        <v>5</v>
      </c>
      <c r="E18" s="1">
        <v>180</v>
      </c>
      <c r="F18" s="1">
        <f t="shared" si="1"/>
        <v>900</v>
      </c>
      <c r="H18" s="1" t="s">
        <v>52</v>
      </c>
      <c r="I18" s="1" t="s">
        <v>53</v>
      </c>
    </row>
    <row r="19" spans="1:9" x14ac:dyDescent="0.3">
      <c r="A19" s="1" t="s">
        <v>22</v>
      </c>
      <c r="B19" t="s">
        <v>26</v>
      </c>
      <c r="C19" t="s">
        <v>32</v>
      </c>
      <c r="D19" s="1">
        <v>9</v>
      </c>
      <c r="E19" s="1">
        <v>45</v>
      </c>
      <c r="F19" s="1">
        <f t="shared" si="1"/>
        <v>405</v>
      </c>
      <c r="H19" s="1" t="s">
        <v>51</v>
      </c>
      <c r="I19" s="1" t="str">
        <f>INDEX(H11:H16,MATCH(MAX(I11:I16),I11:I16,0))</f>
        <v>H12</v>
      </c>
    </row>
    <row r="20" spans="1:9" x14ac:dyDescent="0.3">
      <c r="A20" s="1" t="s">
        <v>23</v>
      </c>
      <c r="B20" t="s">
        <v>29</v>
      </c>
      <c r="C20" t="s">
        <v>34</v>
      </c>
      <c r="D20" s="1">
        <v>8</v>
      </c>
      <c r="E20" s="1">
        <v>250</v>
      </c>
      <c r="F20" s="1">
        <f t="shared" si="1"/>
        <v>2000</v>
      </c>
    </row>
    <row r="21" spans="1:9" x14ac:dyDescent="0.3">
      <c r="A21" s="1" t="s">
        <v>24</v>
      </c>
      <c r="B21" t="s">
        <v>30</v>
      </c>
      <c r="C21" t="s">
        <v>33</v>
      </c>
      <c r="D21" s="1">
        <v>3</v>
      </c>
      <c r="E21" s="1">
        <v>450</v>
      </c>
      <c r="F21" s="1">
        <f t="shared" si="1"/>
        <v>1350</v>
      </c>
    </row>
    <row r="22" spans="1:9" x14ac:dyDescent="0.3">
      <c r="A22" s="1" t="s">
        <v>25</v>
      </c>
      <c r="B22" t="s">
        <v>27</v>
      </c>
      <c r="C22" t="s">
        <v>33</v>
      </c>
      <c r="D22" s="1">
        <v>6</v>
      </c>
      <c r="E22" s="1">
        <v>220</v>
      </c>
      <c r="F22" s="1">
        <f t="shared" si="1"/>
        <v>1320</v>
      </c>
    </row>
  </sheetData>
  <phoneticPr fontId="1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Reddy</dc:creator>
  <cp:lastModifiedBy>Rakesh Reddy</cp:lastModifiedBy>
  <dcterms:created xsi:type="dcterms:W3CDTF">2026-09-17T04:21:49Z</dcterms:created>
  <dcterms:modified xsi:type="dcterms:W3CDTF">2026-09-17T06:54:49Z</dcterms:modified>
</cp:coreProperties>
</file>